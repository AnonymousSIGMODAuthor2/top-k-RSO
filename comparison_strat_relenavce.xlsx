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code\top-k-rso\top-k-RSO\"/>
    </mc:Choice>
  </mc:AlternateContent>
  <xr:revisionPtr revIDLastSave="0" documentId="13_ncr:1_{99C19605-2131-419C-8009-DF5F8340A359}" xr6:coauthVersionLast="47" xr6:coauthVersionMax="47" xr10:uidLastSave="{00000000-0000-0000-0000-000000000000}"/>
  <bookViews>
    <workbookView xWindow="-120" yWindow="-120" windowWidth="29040" windowHeight="16440" xr2:uid="{B707CDDE-6630-45D0-A266-4F38E21FE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C29" i="1"/>
  <c r="C28" i="1"/>
  <c r="D29" i="1"/>
  <c r="C22" i="1"/>
  <c r="C23" i="1"/>
  <c r="D21" i="1"/>
  <c r="D22" i="1"/>
  <c r="D23" i="1"/>
  <c r="D28" i="1"/>
  <c r="C21" i="1"/>
  <c r="D11" i="1"/>
  <c r="C11" i="1"/>
  <c r="D16" i="1"/>
  <c r="D15" i="1"/>
  <c r="C15" i="1"/>
  <c r="D17" i="1"/>
  <c r="C17" i="1"/>
  <c r="C16" i="1"/>
  <c r="D5" i="1"/>
  <c r="C5" i="1"/>
  <c r="D4" i="1"/>
  <c r="C4" i="1"/>
  <c r="C3" i="1"/>
  <c r="D3" i="1"/>
  <c r="D10" i="1"/>
  <c r="C10" i="1"/>
  <c r="D9" i="1"/>
  <c r="C9" i="1"/>
</calcChain>
</file>

<file path=xl/sharedStrings.xml><?xml version="1.0" encoding="utf-8"?>
<sst xmlns="http://schemas.openxmlformats.org/spreadsheetml/2006/main" count="55" uniqueCount="11">
  <si>
    <t>K/k</t>
  </si>
  <si>
    <t>1000/20</t>
  </si>
  <si>
    <t>W</t>
  </si>
  <si>
    <t>stratified_sampling</t>
  </si>
  <si>
    <t>0.65 * K/k</t>
  </si>
  <si>
    <t>0.75 * K/k</t>
  </si>
  <si>
    <t>biased_sampling</t>
  </si>
  <si>
    <t>sampling</t>
  </si>
  <si>
    <t>no relevance</t>
  </si>
  <si>
    <t>with relenavce</t>
  </si>
  <si>
    <t>1 * K/k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</si>
</sst>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2C85-A08D-4623-A099-EB1999F344E1}">
  <dimension ref="A1:D29"/>
  <sheetViews>
    <sheetView tabSelected="1" topLeftCell="A4" workbookViewId="0">
      <selection activeCell="C28" sqref="C28"/>
    </sheetView>
  </sheetViews>
  <sheetFormatPr defaultRowHeight="15" x14ac:dyDescent="0.25"/>
  <cols>
    <col min="1" max="1" width="13.7109375" bestFit="1" customWidth="1"/>
    <col min="3" max="3" width="18.28515625" bestFit="1" customWidth="1"/>
    <col min="4" max="5" width="16.28515625" bestFit="1" customWidth="1"/>
    <col min="7" max="7" width="13.7109375" bestFit="1" customWidth="1"/>
  </cols>
  <sheetData>
    <row r="1" spans="1:4" x14ac:dyDescent="0.25">
      <c r="A1" s="7" t="s">
        <v>8</v>
      </c>
    </row>
    <row r="2" spans="1:4" x14ac:dyDescent="0.25">
      <c r="A2" s="2" t="s">
        <v>0</v>
      </c>
      <c r="B2" s="2" t="s">
        <v>2</v>
      </c>
      <c r="C2" s="3" t="s">
        <v>3</v>
      </c>
      <c r="D2" s="4" t="s">
        <v>7</v>
      </c>
    </row>
    <row r="3" spans="1:4" x14ac:dyDescent="0.25">
      <c r="A3" s="1" t="s">
        <v>1</v>
      </c>
      <c r="B3" s="1" t="s">
        <v>4</v>
      </c>
      <c r="C3" s="5">
        <f>100-5</f>
        <v>95</v>
      </c>
      <c r="D3" s="6">
        <f>100-8</f>
        <v>92</v>
      </c>
    </row>
    <row r="4" spans="1:4" x14ac:dyDescent="0.25">
      <c r="A4" s="1" t="s">
        <v>1</v>
      </c>
      <c r="B4" s="1" t="s">
        <v>5</v>
      </c>
      <c r="C4" s="5">
        <f>100-14</f>
        <v>86</v>
      </c>
      <c r="D4" s="6">
        <f>100-20</f>
        <v>80</v>
      </c>
    </row>
    <row r="5" spans="1:4" x14ac:dyDescent="0.25">
      <c r="A5" s="1" t="s">
        <v>1</v>
      </c>
      <c r="B5" s="1" t="s">
        <v>10</v>
      </c>
      <c r="C5" s="5">
        <f>100-70</f>
        <v>30</v>
      </c>
      <c r="D5" s="6">
        <f>100-82</f>
        <v>18</v>
      </c>
    </row>
    <row r="7" spans="1:4" x14ac:dyDescent="0.25">
      <c r="A7" s="7" t="s">
        <v>9</v>
      </c>
      <c r="B7" s="7">
        <v>0.2</v>
      </c>
    </row>
    <row r="8" spans="1:4" x14ac:dyDescent="0.25">
      <c r="A8" s="2" t="s">
        <v>0</v>
      </c>
      <c r="B8" s="2" t="s">
        <v>2</v>
      </c>
      <c r="C8" s="3" t="s">
        <v>3</v>
      </c>
      <c r="D8" s="4" t="s">
        <v>6</v>
      </c>
    </row>
    <row r="9" spans="1:4" x14ac:dyDescent="0.25">
      <c r="A9" s="1" t="s">
        <v>1</v>
      </c>
      <c r="B9" s="1" t="s">
        <v>4</v>
      </c>
      <c r="C9" s="5">
        <f>100-12</f>
        <v>88</v>
      </c>
      <c r="D9" s="6">
        <f>100-14</f>
        <v>86</v>
      </c>
    </row>
    <row r="10" spans="1:4" x14ac:dyDescent="0.25">
      <c r="A10" s="1" t="s">
        <v>1</v>
      </c>
      <c r="B10" s="1" t="s">
        <v>5</v>
      </c>
      <c r="C10" s="5">
        <f>100-18</f>
        <v>82</v>
      </c>
      <c r="D10" s="6">
        <f>100-24</f>
        <v>76</v>
      </c>
    </row>
    <row r="11" spans="1:4" x14ac:dyDescent="0.25">
      <c r="A11" s="1" t="s">
        <v>1</v>
      </c>
      <c r="B11" s="1" t="s">
        <v>10</v>
      </c>
      <c r="C11" s="5">
        <f>100-41</f>
        <v>59</v>
      </c>
      <c r="D11" s="6">
        <f>100-39</f>
        <v>61</v>
      </c>
    </row>
    <row r="13" spans="1:4" x14ac:dyDescent="0.25">
      <c r="A13" s="7" t="s">
        <v>9</v>
      </c>
      <c r="B13" s="7">
        <v>0.3</v>
      </c>
    </row>
    <row r="14" spans="1:4" x14ac:dyDescent="0.25">
      <c r="A14" s="2" t="s">
        <v>0</v>
      </c>
      <c r="B14" s="2" t="s">
        <v>2</v>
      </c>
      <c r="C14" s="3" t="s">
        <v>3</v>
      </c>
      <c r="D14" s="4" t="s">
        <v>6</v>
      </c>
    </row>
    <row r="15" spans="1:4" x14ac:dyDescent="0.25">
      <c r="A15" s="1" t="s">
        <v>1</v>
      </c>
      <c r="B15" s="1" t="s">
        <v>4</v>
      </c>
      <c r="C15" s="5">
        <f>100-15</f>
        <v>85</v>
      </c>
      <c r="D15" s="6">
        <f>100-14</f>
        <v>86</v>
      </c>
    </row>
    <row r="16" spans="1:4" x14ac:dyDescent="0.25">
      <c r="A16" s="1" t="s">
        <v>1</v>
      </c>
      <c r="B16" s="1" t="s">
        <v>5</v>
      </c>
      <c r="C16" s="5">
        <f>100-18</f>
        <v>82</v>
      </c>
      <c r="D16" s="6">
        <f>100-22</f>
        <v>78</v>
      </c>
    </row>
    <row r="17" spans="1:4" x14ac:dyDescent="0.25">
      <c r="A17" s="1" t="s">
        <v>1</v>
      </c>
      <c r="B17" s="1" t="s">
        <v>10</v>
      </c>
      <c r="C17" s="5">
        <f>100-40</f>
        <v>60</v>
      </c>
      <c r="D17" s="6">
        <f>100-38</f>
        <v>62</v>
      </c>
    </row>
    <row r="19" spans="1:4" x14ac:dyDescent="0.25">
      <c r="A19" s="7" t="s">
        <v>9</v>
      </c>
      <c r="B19" s="7">
        <v>0.5</v>
      </c>
    </row>
    <row r="20" spans="1:4" x14ac:dyDescent="0.25">
      <c r="A20" s="2" t="s">
        <v>0</v>
      </c>
      <c r="B20" s="2" t="s">
        <v>2</v>
      </c>
      <c r="C20" s="3" t="s">
        <v>3</v>
      </c>
      <c r="D20" s="4" t="s">
        <v>6</v>
      </c>
    </row>
    <row r="21" spans="1:4" x14ac:dyDescent="0.25">
      <c r="A21" s="1" t="s">
        <v>1</v>
      </c>
      <c r="B21" s="1" t="s">
        <v>4</v>
      </c>
      <c r="C21" s="5">
        <f>100-15</f>
        <v>85</v>
      </c>
      <c r="D21" s="6">
        <f>100-13</f>
        <v>87</v>
      </c>
    </row>
    <row r="22" spans="1:4" x14ac:dyDescent="0.25">
      <c r="A22" s="1" t="s">
        <v>1</v>
      </c>
      <c r="B22" s="1" t="s">
        <v>5</v>
      </c>
      <c r="C22" s="5">
        <f>100-20</f>
        <v>80</v>
      </c>
      <c r="D22" s="6">
        <f>100-17</f>
        <v>83</v>
      </c>
    </row>
    <row r="23" spans="1:4" x14ac:dyDescent="0.25">
      <c r="A23" s="1" t="s">
        <v>1</v>
      </c>
      <c r="B23" s="1" t="s">
        <v>10</v>
      </c>
      <c r="C23" s="5">
        <f>100-37</f>
        <v>63</v>
      </c>
      <c r="D23" s="6">
        <f>100-35</f>
        <v>65</v>
      </c>
    </row>
    <row r="25" spans="1:4" x14ac:dyDescent="0.25">
      <c r="A25" s="7" t="s">
        <v>9</v>
      </c>
      <c r="B25" s="7">
        <v>1</v>
      </c>
    </row>
    <row r="26" spans="1:4" x14ac:dyDescent="0.25">
      <c r="A26" s="2" t="s">
        <v>0</v>
      </c>
      <c r="B26" s="2" t="s">
        <v>2</v>
      </c>
      <c r="C26" s="3" t="s">
        <v>3</v>
      </c>
      <c r="D26" s="4" t="s">
        <v>6</v>
      </c>
    </row>
    <row r="27" spans="1:4" x14ac:dyDescent="0.25">
      <c r="A27" s="1" t="s">
        <v>1</v>
      </c>
      <c r="B27" s="1" t="s">
        <v>4</v>
      </c>
      <c r="C27" s="5">
        <f>100-21</f>
        <v>79</v>
      </c>
      <c r="D27" s="6">
        <f>100-12</f>
        <v>88</v>
      </c>
    </row>
    <row r="28" spans="1:4" x14ac:dyDescent="0.25">
      <c r="A28" s="1" t="s">
        <v>1</v>
      </c>
      <c r="B28" s="1" t="s">
        <v>5</v>
      </c>
      <c r="C28" s="5">
        <f>100-22</f>
        <v>78</v>
      </c>
      <c r="D28" s="6">
        <f>100-22</f>
        <v>78</v>
      </c>
    </row>
    <row r="29" spans="1:4" x14ac:dyDescent="0.25">
      <c r="A29" s="1" t="s">
        <v>1</v>
      </c>
      <c r="B29" s="1" t="s">
        <v>10</v>
      </c>
      <c r="C29" s="5">
        <f>100-27</f>
        <v>73</v>
      </c>
      <c r="D29" s="6">
        <f>100-26</f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Charalambous</dc:creator>
  <cp:lastModifiedBy>Ioannis Charalambous</cp:lastModifiedBy>
  <dcterms:created xsi:type="dcterms:W3CDTF">2026-01-20T18:21:23Z</dcterms:created>
  <dcterms:modified xsi:type="dcterms:W3CDTF">2026-01-20T21:31:10Z</dcterms:modified>
</cp:coreProperties>
</file>